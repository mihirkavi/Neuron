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" sheetId="1" r:id="rId4"/>
    <sheet state="visible" name="Startup Costs" sheetId="2" r:id="rId5"/>
    <sheet state="visible" name="Revenue Streams" sheetId="3" r:id="rId6"/>
    <sheet state="visible" name="Operational Costs" sheetId="4" r:id="rId7"/>
    <sheet state="visible" name="Net Present Value" sheetId="5" r:id="rId8"/>
  </sheets>
  <definedNames/>
  <calcPr/>
</workbook>
</file>

<file path=xl/sharedStrings.xml><?xml version="1.0" encoding="utf-8"?>
<sst xmlns="http://schemas.openxmlformats.org/spreadsheetml/2006/main" count="130" uniqueCount="108">
  <si>
    <t>Details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</si>
  <si>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</si>
  <si>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</si>
  <si>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</si>
  <si>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</si>
  <si>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</si>
  <si>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</si>
  <si>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</si>
  <si>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</si>
  <si>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</si>
  <si>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</si>
  <si>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</si>
  <si>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Projected Revenue</t>
  </si>
  <si>
    <t>Initial Investment</t>
  </si>
  <si>
    <t>Operational Costs</t>
  </si>
  <si>
    <t>Profit/Loss</t>
  </si>
  <si>
    <t>Cumulative P/L</t>
  </si>
  <si>
    <t>Net Present Value</t>
  </si>
  <si>
    <t>Original stake for the same effort</t>
  </si>
  <si>
    <t>Negotiate not more than</t>
  </si>
  <si>
    <t>Startup Expenses</t>
  </si>
  <si>
    <t>Cost</t>
  </si>
  <si>
    <t>Raspberry Pi or Arduino</t>
  </si>
  <si>
    <t>Sensors</t>
  </si>
  <si>
    <t>Wires and breadboard</t>
  </si>
  <si>
    <t>Initial Software Development</t>
  </si>
  <si>
    <t>Preliminary Marketing &amp; Research</t>
  </si>
  <si>
    <t>Total Startup Costs</t>
  </si>
  <si>
    <t>Rationale</t>
  </si>
  <si>
    <t>Hardware Costs</t>
  </si>
  <si>
    <t>Raspberry Pi or Arduino: $50/unit</t>
  </si>
  <si>
    <t>All mentioned sensors (Camera, GPS, Accelerometer, etc.): $200/unit</t>
  </si>
  <si>
    <t>Wires and Breadboard: $30/unit</t>
  </si>
  <si>
    <t>Software &amp; Development Costs</t>
  </si>
  <si>
    <t>Landing website development and maintenance: $3,000</t>
  </si>
  <si>
    <t>AI models and software solution development: $20,000</t>
  </si>
  <si>
    <t>Marketing Costs</t>
  </si>
  <si>
    <t>Google ads, Instagram promotions: $10,000 initial campaign</t>
  </si>
  <si>
    <t>Outreach to potential customers for interviews: $2,000</t>
  </si>
  <si>
    <t>Miscellaneous Costs</t>
  </si>
  <si>
    <t>Legal &amp; licensing: $5,000</t>
  </si>
  <si>
    <t>Administrative costs: $3,000</t>
  </si>
  <si>
    <t>Research &amp; Development: $10,000</t>
  </si>
  <si>
    <t>Total Startup Cost: ~$53,280</t>
  </si>
  <si>
    <t>Revenue Streams</t>
  </si>
  <si>
    <t>Government Contracts</t>
  </si>
  <si>
    <t>AI Company Contracts</t>
  </si>
  <si>
    <t>Licensing Deals &amp; API Tokens</t>
  </si>
  <si>
    <t>Advertisement Revenue</t>
  </si>
  <si>
    <t>Subscription Models &amp; Tiered Data Packages</t>
  </si>
  <si>
    <t>Total</t>
  </si>
  <si>
    <t>1. Government Contracts:</t>
  </si>
  <si>
    <t>Year 1 to Year 2 saw a 50% increase ($50,000 increase on $100,000).</t>
  </si>
  <si>
    <t xml:space="preserve">- 2 contracts at $50,000 each: </t>
  </si>
  <si>
    <t>Year 2 to Year 3 saw a 33.33% increase ($50,000 increase on $150,000).</t>
  </si>
  <si>
    <t>Year 3 to Year 4 saw a 15% increase ($30,000 increase on $200,000).</t>
  </si>
  <si>
    <t>2. AI Company Contracts:</t>
  </si>
  <si>
    <t>From Year 4 onwards, there's an approximately consistent growth of 15% annually.</t>
  </si>
  <si>
    <t xml:space="preserve">- 3 contracts at $20,000 each: </t>
  </si>
  <si>
    <t>3. Licensing Deals &amp; API Tokens:</t>
  </si>
  <si>
    <t>- Estimating an average of 5 licenses at $10,000 each:</t>
  </si>
  <si>
    <t>- Estimating API tokens sale to 100 users at $200 each:</t>
  </si>
  <si>
    <t>4. Advertisement Revenue:</t>
  </si>
  <si>
    <t>- Estimating a modest monthly revenue of $500 for ads on the platform (annually):</t>
  </si>
  <si>
    <t>- Sponsored content: Assuming 5 posts at $1,000 each:</t>
  </si>
  <si>
    <t>5. Subscription Models &amp; Tiered Data Packages (as detailed above):</t>
  </si>
  <si>
    <t>- Data Access Subscriptions (Basic): 50 users at $500/month (annually):</t>
  </si>
  <si>
    <t>- Data Access Subscriptions (Premium): 20 users at $2,000/month (annually):</t>
  </si>
  <si>
    <t>Operational Cost Components</t>
  </si>
  <si>
    <t>Hardware &amp; Equipment Maintenance</t>
  </si>
  <si>
    <t>Software &amp; Development</t>
  </si>
  <si>
    <t>Marketing &amp; Sales</t>
  </si>
  <si>
    <t>Administrative &amp; Overhead</t>
  </si>
  <si>
    <t>Licensing, Legal &amp; Compliance</t>
  </si>
  <si>
    <t>Customer Support &amp; Training</t>
  </si>
  <si>
    <t>Absolutely, let's detail out the operational costs for "Easy Transport" in its first year.</t>
  </si>
  <si>
    <t>1. Hardware &amp; Equipment:</t>
  </si>
  <si>
    <t>- Device Production:</t>
  </si>
  <si>
    <t>- Let's say you manufacture 1,000 devices in the first year.</t>
  </si>
  <si>
    <t>- Assuming each device's cost (including sensors, Raspberry Pi or Arduino, wires, and other materials) averages at $300: 1,000 x $300 = $300,000</t>
  </si>
  <si>
    <t>- Maintenance &amp; Repairs:</t>
  </si>
  <si>
    <t>- Assuming a 10% maintenance rate, at an average of $30 per device: 100 x $30 = $3,000</t>
  </si>
  <si>
    <t>2. Software &amp; Development:</t>
  </si>
  <si>
    <t>- Platform Maintenance &amp; Hosting: $10,000 (includes server costs, security measures, and updates)</t>
  </si>
  <si>
    <t>- Software Development &amp; Updates: $50,000 (This includes salaries or fees for developers, testing, and deployment.)</t>
  </si>
  <si>
    <t>- Cloud Storage: Based on the amount of data and the need for quick access, let's budget $5,000 for the first year.</t>
  </si>
  <si>
    <t>3. Marketing &amp; Sales:</t>
  </si>
  <si>
    <t>- Digital Marketing (Google ads, social media promotions): $20,000</t>
  </si>
  <si>
    <t>- Physical Promotions (Brochures, banners, events): $10,000</t>
  </si>
  <si>
    <t>- Sales Team Compensation: Assuming a small sales team with a cumulative salary of $100,000</t>
  </si>
  <si>
    <t>4. Administrative &amp; Overhead:</t>
  </si>
  <si>
    <t>- Rent &amp; Utilities: Assuming a small office space: $30,000 annually</t>
  </si>
  <si>
    <t>- Salaries (excluding sales team): $200,000 (This would vary widely based on the team's size, location, and roles.)</t>
  </si>
  <si>
    <t>- Miscellaneous Supplies &amp; Expenditure: $5,000</t>
  </si>
  <si>
    <t>5. Licensing, Legal &amp; Compliance:</t>
  </si>
  <si>
    <t>- Licensing Fees (for any third-party software or technology): $5,000</t>
  </si>
  <si>
    <t>- Legal Fees (contracts, intellectual property filings, general counsel): $20,000</t>
  </si>
  <si>
    <t>- Compliance &amp; Certifications: Ensuring that the devices and data handling comply with regulations: $10,000</t>
  </si>
  <si>
    <t>6. Customer Support &amp; Training:</t>
  </si>
  <si>
    <t>- Support Team Salaries: $60,000</t>
  </si>
  <si>
    <t>- Training Programs &amp; Workshops: $10,000 (Both for internal teams and external clients.)</t>
  </si>
  <si>
    <t>Year</t>
  </si>
  <si>
    <t>Net Cash Flow (Revenue - Operational Costs)</t>
  </si>
  <si>
    <t>NPV (using 10% discount rate)</t>
  </si>
  <si>
    <t>0 (Startup Costs)</t>
  </si>
  <si>
    <t>Total NPV over 10 years</t>
  </si>
  <si>
    <t>-</t>
  </si>
  <si>
    <t>Discounting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</si>
</sst>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374151"/>
      <name val="Söhne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9" xfId="0" applyAlignment="1" applyFont="1" applyNumberForma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Projected Revenue, Operational Costs and Profit/Loss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Projections!$A$2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Projections!$B$1:$L$1</c:f>
            </c:strRef>
          </c:cat>
          <c:val>
            <c:numRef>
              <c:f>Projections!$B$2:$L$2</c:f>
              <c:numCache/>
            </c:numRef>
          </c:val>
        </c:ser>
        <c:ser>
          <c:idx val="1"/>
          <c:order val="1"/>
          <c:tx>
            <c:strRef>
              <c:f>Projections!$A$4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Projections!$B$1:$L$1</c:f>
            </c:strRef>
          </c:cat>
          <c:val>
            <c:numRef>
              <c:f>Projections!$B$4:$L$4</c:f>
              <c:numCache/>
            </c:numRef>
          </c:val>
        </c:ser>
        <c:ser>
          <c:idx val="2"/>
          <c:order val="2"/>
          <c:tx>
            <c:strRef>
              <c:f>Projections!$A$5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Projections!$B$1:$L$1</c:f>
            </c:strRef>
          </c:cat>
          <c:val>
            <c:numRef>
              <c:f>Projections!$B$5:$L$5</c:f>
              <c:numCache/>
            </c:numRef>
          </c:val>
        </c:ser>
        <c:ser>
          <c:idx val="3"/>
          <c:order val="3"/>
          <c:tx>
            <c:strRef>
              <c:f>Projections!$A$5</c:f>
            </c:strRef>
          </c:tx>
          <c:cat>
            <c:strRef>
              <c:f>Projections!$B$1:$L$1</c:f>
            </c:strRef>
          </c:cat>
          <c:val>
            <c:numRef>
              <c:f>Projections!$B$5:$L$5</c:f>
              <c:numCache/>
            </c:numRef>
          </c:val>
        </c:ser>
        <c:axId val="1992817453"/>
        <c:axId val="970760390"/>
      </c:barChart>
      <c:catAx>
        <c:axId val="1992817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Details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760390"/>
      </c:catAx>
      <c:valAx>
        <c:axId val="970760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817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581025</xdr:colOff>
      <xdr:row>8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/>
      <c r="C2" s="2">
        <f>'Revenue Streams'!B7</f>
        <v>500000</v>
      </c>
      <c r="D2" s="2">
        <f>'Revenue Streams'!C7</f>
        <v>700000</v>
      </c>
      <c r="E2" s="2">
        <f>'Revenue Streams'!D7</f>
        <v>900000</v>
      </c>
      <c r="F2" s="2">
        <f>'Revenue Streams'!E7</f>
        <v>1035000</v>
      </c>
      <c r="G2" s="2">
        <f>'Revenue Streams'!F7</f>
        <v>1196275</v>
      </c>
      <c r="H2" s="2">
        <f>'Revenue Streams'!G7</f>
        <v>1384261</v>
      </c>
      <c r="I2" s="2">
        <f>'Revenue Streams'!H7</f>
        <v>1602073</v>
      </c>
      <c r="J2" s="2">
        <f>'Revenue Streams'!I7</f>
        <v>1857797</v>
      </c>
      <c r="K2" s="2">
        <f>'Revenue Streams'!J7</f>
        <v>2159367</v>
      </c>
      <c r="L2" s="2">
        <f>'Revenue Streams'!K7</f>
        <v>2512867</v>
      </c>
    </row>
    <row r="3">
      <c r="A3" s="1" t="s">
        <v>13</v>
      </c>
      <c r="B3" s="2">
        <f>'Startup Costs'!B7</f>
        <v>53280</v>
      </c>
    </row>
    <row r="4">
      <c r="A4" s="1" t="s">
        <v>14</v>
      </c>
      <c r="B4" s="2"/>
      <c r="C4" s="2">
        <f>'Operational Costs'!B8</f>
        <v>808000</v>
      </c>
      <c r="D4" s="2">
        <f>'Operational Costs'!C8</f>
        <v>887800</v>
      </c>
      <c r="E4" s="2">
        <f>'Operational Costs'!D8</f>
        <v>975780</v>
      </c>
      <c r="F4" s="2">
        <f>'Operational Costs'!E8</f>
        <v>1072358</v>
      </c>
      <c r="G4" s="2">
        <f>'Operational Costs'!F8</f>
        <v>1178595</v>
      </c>
      <c r="H4" s="2">
        <f>'Operational Costs'!G8</f>
        <v>1295453</v>
      </c>
      <c r="I4" s="2">
        <f>'Operational Costs'!H8</f>
        <v>1423999</v>
      </c>
      <c r="J4" s="2">
        <f>'Operational Costs'!I8</f>
        <v>1565398</v>
      </c>
      <c r="K4" s="2">
        <f>'Operational Costs'!J8</f>
        <v>1720938</v>
      </c>
      <c r="L4" s="2">
        <f>'Operational Costs'!K8</f>
        <v>1892031</v>
      </c>
    </row>
    <row r="5">
      <c r="A5" s="1" t="s">
        <v>15</v>
      </c>
      <c r="B5" s="2">
        <f t="shared" ref="B5:L5" si="1">B2-B3-B4</f>
        <v>-53280</v>
      </c>
      <c r="C5" s="2">
        <f t="shared" si="1"/>
        <v>-308000</v>
      </c>
      <c r="D5" s="2">
        <f t="shared" si="1"/>
        <v>-187800</v>
      </c>
      <c r="E5" s="2">
        <f t="shared" si="1"/>
        <v>-75780</v>
      </c>
      <c r="F5" s="2">
        <f t="shared" si="1"/>
        <v>-37358</v>
      </c>
      <c r="G5" s="2">
        <f t="shared" si="1"/>
        <v>17680</v>
      </c>
      <c r="H5" s="2">
        <f t="shared" si="1"/>
        <v>88808</v>
      </c>
      <c r="I5" s="2">
        <f t="shared" si="1"/>
        <v>178074</v>
      </c>
      <c r="J5" s="2">
        <f t="shared" si="1"/>
        <v>292399</v>
      </c>
      <c r="K5" s="2">
        <f t="shared" si="1"/>
        <v>438429</v>
      </c>
      <c r="L5" s="2">
        <f t="shared" si="1"/>
        <v>620836</v>
      </c>
    </row>
    <row r="6">
      <c r="A6" s="1" t="s">
        <v>16</v>
      </c>
      <c r="B6" s="2">
        <v>-53280.0</v>
      </c>
      <c r="C6" s="2">
        <f t="shared" ref="C6:L6" si="2">B6+C5</f>
        <v>-361280</v>
      </c>
      <c r="D6" s="2">
        <f t="shared" si="2"/>
        <v>-549080</v>
      </c>
      <c r="E6" s="2">
        <f t="shared" si="2"/>
        <v>-624860</v>
      </c>
      <c r="F6" s="2">
        <f t="shared" si="2"/>
        <v>-662218</v>
      </c>
      <c r="G6" s="2">
        <f t="shared" si="2"/>
        <v>-644538</v>
      </c>
      <c r="H6" s="2">
        <f t="shared" si="2"/>
        <v>-555730</v>
      </c>
      <c r="I6" s="2">
        <f t="shared" si="2"/>
        <v>-377656</v>
      </c>
      <c r="J6" s="2">
        <f t="shared" si="2"/>
        <v>-85257</v>
      </c>
      <c r="K6" s="2">
        <f t="shared" si="2"/>
        <v>353172</v>
      </c>
      <c r="L6" s="2">
        <f t="shared" si="2"/>
        <v>974008</v>
      </c>
    </row>
    <row r="8">
      <c r="A8" s="1" t="s">
        <v>17</v>
      </c>
      <c r="B8" s="3">
        <f>'Net Present Value'!C13</f>
        <v>130229.7132</v>
      </c>
    </row>
    <row r="10">
      <c r="A10" s="4" t="s">
        <v>18</v>
      </c>
      <c r="B10" s="5">
        <f>B3/B8</f>
        <v>0.4091232231</v>
      </c>
    </row>
    <row r="12">
      <c r="A12" s="4" t="s">
        <v>19</v>
      </c>
      <c r="B12" s="6">
        <v>0.15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20</v>
      </c>
      <c r="B1" s="1" t="s">
        <v>21</v>
      </c>
    </row>
    <row r="2">
      <c r="A2" s="1" t="s">
        <v>22</v>
      </c>
      <c r="B2" s="7">
        <v>15000.0</v>
      </c>
    </row>
    <row r="3">
      <c r="A3" s="1" t="s">
        <v>23</v>
      </c>
      <c r="B3" s="7">
        <v>20000.0</v>
      </c>
    </row>
    <row r="4">
      <c r="A4" s="1" t="s">
        <v>24</v>
      </c>
      <c r="B4" s="7">
        <v>1280.0</v>
      </c>
    </row>
    <row r="5">
      <c r="A5" s="1" t="s">
        <v>25</v>
      </c>
      <c r="B5" s="7">
        <v>12000.0</v>
      </c>
    </row>
    <row r="6">
      <c r="A6" s="1" t="s">
        <v>26</v>
      </c>
      <c r="B6" s="7">
        <v>5000.0</v>
      </c>
    </row>
    <row r="7">
      <c r="A7" s="1" t="s">
        <v>27</v>
      </c>
      <c r="B7" s="7">
        <f>SUM(B2:B6)</f>
        <v>53280</v>
      </c>
    </row>
    <row r="10">
      <c r="A10" s="8" t="s">
        <v>28</v>
      </c>
    </row>
    <row r="11">
      <c r="A11" s="1" t="s">
        <v>29</v>
      </c>
    </row>
    <row r="12">
      <c r="A12" s="9" t="s">
        <v>30</v>
      </c>
    </row>
    <row r="13">
      <c r="A13" s="9" t="s">
        <v>31</v>
      </c>
    </row>
    <row r="14">
      <c r="A14" s="9" t="s">
        <v>32</v>
      </c>
    </row>
    <row r="15">
      <c r="A15" s="1" t="s">
        <v>33</v>
      </c>
    </row>
    <row r="16">
      <c r="A16" s="9" t="s">
        <v>34</v>
      </c>
    </row>
    <row r="17">
      <c r="A17" s="9" t="s">
        <v>35</v>
      </c>
    </row>
    <row r="18">
      <c r="A18" s="1" t="s">
        <v>36</v>
      </c>
    </row>
    <row r="19">
      <c r="A19" s="9" t="s">
        <v>37</v>
      </c>
    </row>
    <row r="20">
      <c r="A20" s="9" t="s">
        <v>38</v>
      </c>
    </row>
    <row r="21">
      <c r="A21" s="1" t="s">
        <v>39</v>
      </c>
    </row>
    <row r="22">
      <c r="A22" s="9" t="s">
        <v>40</v>
      </c>
    </row>
    <row r="23">
      <c r="A23" s="9" t="s">
        <v>41</v>
      </c>
    </row>
    <row r="24">
      <c r="A24" s="9" t="s">
        <v>42</v>
      </c>
    </row>
    <row r="26">
      <c r="A26" s="9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</cols>
  <sheetData>
    <row r="1">
      <c r="A1" s="9" t="s">
        <v>44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</row>
    <row r="2">
      <c r="A2" s="9" t="s">
        <v>45</v>
      </c>
      <c r="B2" s="7">
        <v>100000.0</v>
      </c>
      <c r="C2" s="7">
        <v>150000.0</v>
      </c>
      <c r="D2" s="7">
        <v>200000.0</v>
      </c>
      <c r="E2" s="7">
        <v>230000.0</v>
      </c>
      <c r="F2" s="7">
        <v>265000.0</v>
      </c>
      <c r="G2" s="7">
        <v>305000.0</v>
      </c>
      <c r="H2" s="7">
        <v>351000.0</v>
      </c>
      <c r="I2" s="7">
        <v>403000.0</v>
      </c>
      <c r="J2" s="7">
        <v>463000.0</v>
      </c>
      <c r="K2" s="7">
        <v>532000.0</v>
      </c>
    </row>
    <row r="3">
      <c r="A3" s="9" t="s">
        <v>46</v>
      </c>
      <c r="B3" s="7">
        <v>60000.0</v>
      </c>
      <c r="C3" s="7">
        <v>90000.0</v>
      </c>
      <c r="D3" s="7">
        <v>120000.0</v>
      </c>
      <c r="E3" s="7">
        <v>138000.0</v>
      </c>
      <c r="F3" s="7">
        <v>159000.0</v>
      </c>
      <c r="G3" s="7">
        <v>183000.0</v>
      </c>
      <c r="H3" s="7">
        <v>210000.0</v>
      </c>
      <c r="I3" s="7">
        <v>241000.0</v>
      </c>
      <c r="J3" s="7">
        <v>277000.0</v>
      </c>
      <c r="K3" s="7">
        <v>318000.0</v>
      </c>
    </row>
    <row r="4">
      <c r="A4" s="9" t="s">
        <v>47</v>
      </c>
      <c r="B4" s="7">
        <v>70000.0</v>
      </c>
      <c r="C4" s="7">
        <v>90000.0</v>
      </c>
      <c r="D4" s="7">
        <v>105000.0</v>
      </c>
      <c r="E4" s="7">
        <v>120500.0</v>
      </c>
      <c r="F4" s="7">
        <v>138500.0</v>
      </c>
      <c r="G4" s="7">
        <v>158500.0</v>
      </c>
      <c r="H4" s="7">
        <v>181500.0</v>
      </c>
      <c r="I4" s="7">
        <v>208000.0</v>
      </c>
      <c r="J4" s="7">
        <v>238500.0</v>
      </c>
      <c r="K4" s="7">
        <v>273000.0</v>
      </c>
    </row>
    <row r="5">
      <c r="A5" s="9" t="s">
        <v>48</v>
      </c>
      <c r="B5" s="7">
        <v>6000.0</v>
      </c>
      <c r="C5" s="7">
        <v>12000.0</v>
      </c>
      <c r="D5" s="7">
        <v>18000.0</v>
      </c>
      <c r="E5" s="7">
        <v>25200.0</v>
      </c>
      <c r="F5" s="7">
        <v>35280.0</v>
      </c>
      <c r="G5" s="7">
        <v>49392.0</v>
      </c>
      <c r="H5" s="7">
        <v>69150.0</v>
      </c>
      <c r="I5" s="7">
        <v>96810.0</v>
      </c>
      <c r="J5" s="7">
        <v>135532.0</v>
      </c>
      <c r="K5" s="7">
        <v>189743.0</v>
      </c>
    </row>
    <row r="6">
      <c r="A6" s="9" t="s">
        <v>49</v>
      </c>
      <c r="B6" s="7">
        <v>264000.0</v>
      </c>
      <c r="C6" s="7">
        <v>358000.0</v>
      </c>
      <c r="D6" s="7">
        <v>457000.0</v>
      </c>
      <c r="E6" s="7">
        <v>521300.0</v>
      </c>
      <c r="F6" s="7">
        <v>598495.0</v>
      </c>
      <c r="G6" s="7">
        <v>688369.0</v>
      </c>
      <c r="H6" s="7">
        <v>790423.0</v>
      </c>
      <c r="I6" s="7">
        <v>908987.0</v>
      </c>
      <c r="J6" s="7">
        <v>1045335.0</v>
      </c>
      <c r="K6" s="7">
        <v>1200124.0</v>
      </c>
    </row>
    <row r="7">
      <c r="A7" s="4" t="s">
        <v>50</v>
      </c>
      <c r="B7" s="7">
        <f t="shared" ref="B7:K7" si="1">SUM(B2:B6)</f>
        <v>500000</v>
      </c>
      <c r="C7" s="7">
        <f t="shared" si="1"/>
        <v>700000</v>
      </c>
      <c r="D7" s="7">
        <f t="shared" si="1"/>
        <v>900000</v>
      </c>
      <c r="E7" s="7">
        <f t="shared" si="1"/>
        <v>1035000</v>
      </c>
      <c r="F7" s="7">
        <f t="shared" si="1"/>
        <v>1196275</v>
      </c>
      <c r="G7" s="7">
        <f t="shared" si="1"/>
        <v>1384261</v>
      </c>
      <c r="H7" s="7">
        <f t="shared" si="1"/>
        <v>1602073</v>
      </c>
      <c r="I7" s="7">
        <f t="shared" si="1"/>
        <v>1857797</v>
      </c>
      <c r="J7" s="7">
        <f t="shared" si="1"/>
        <v>2159367</v>
      </c>
      <c r="K7" s="7">
        <f t="shared" si="1"/>
        <v>2512867</v>
      </c>
    </row>
    <row r="9">
      <c r="A9" s="9" t="s">
        <v>28</v>
      </c>
    </row>
    <row r="10">
      <c r="A10" s="9" t="s">
        <v>51</v>
      </c>
      <c r="D10" s="10" t="s">
        <v>52</v>
      </c>
    </row>
    <row r="11">
      <c r="A11" s="9" t="s">
        <v>53</v>
      </c>
      <c r="B11" s="7">
        <v>100000.0</v>
      </c>
      <c r="D11" s="10" t="s">
        <v>54</v>
      </c>
    </row>
    <row r="12">
      <c r="A12" s="9"/>
      <c r="D12" s="10" t="s">
        <v>55</v>
      </c>
    </row>
    <row r="13">
      <c r="A13" s="9" t="s">
        <v>56</v>
      </c>
      <c r="D13" s="10" t="s">
        <v>57</v>
      </c>
    </row>
    <row r="14">
      <c r="A14" s="9" t="s">
        <v>58</v>
      </c>
      <c r="B14" s="7">
        <v>60000.0</v>
      </c>
    </row>
    <row r="16">
      <c r="A16" s="9" t="s">
        <v>59</v>
      </c>
    </row>
    <row r="17">
      <c r="A17" s="9" t="s">
        <v>60</v>
      </c>
      <c r="B17" s="7">
        <v>50000.0</v>
      </c>
    </row>
    <row r="18">
      <c r="A18" s="9" t="s">
        <v>61</v>
      </c>
      <c r="B18" s="7">
        <v>20000.0</v>
      </c>
    </row>
    <row r="20">
      <c r="A20" s="9" t="s">
        <v>62</v>
      </c>
    </row>
    <row r="21">
      <c r="A21" s="9" t="s">
        <v>63</v>
      </c>
      <c r="B21" s="7">
        <v>6000.0</v>
      </c>
    </row>
    <row r="22">
      <c r="A22" s="9" t="s">
        <v>64</v>
      </c>
      <c r="B22" s="7">
        <v>5000.0</v>
      </c>
    </row>
    <row r="24">
      <c r="A24" s="9" t="s">
        <v>65</v>
      </c>
    </row>
    <row r="25">
      <c r="A25" s="4" t="s">
        <v>66</v>
      </c>
      <c r="B25" s="11">
        <v>300000.0</v>
      </c>
    </row>
    <row r="26">
      <c r="A26" s="4" t="s">
        <v>67</v>
      </c>
      <c r="B26" s="11">
        <v>480000.0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9" t="s">
        <v>68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</row>
    <row r="2">
      <c r="A2" s="9" t="s">
        <v>69</v>
      </c>
      <c r="B2" s="7">
        <v>303000.0</v>
      </c>
      <c r="C2" s="7">
        <v>333300.0</v>
      </c>
      <c r="D2" s="7">
        <v>366630.0</v>
      </c>
      <c r="E2" s="7">
        <v>403293.0</v>
      </c>
      <c r="F2" s="7">
        <v>443622.0</v>
      </c>
      <c r="G2" s="7">
        <v>487984.0</v>
      </c>
      <c r="H2" s="7">
        <v>536783.0</v>
      </c>
      <c r="I2" s="7">
        <v>590461.0</v>
      </c>
      <c r="J2" s="7">
        <v>649507.0</v>
      </c>
      <c r="K2" s="7">
        <v>714458.0</v>
      </c>
    </row>
    <row r="3">
      <c r="A3" s="9" t="s">
        <v>70</v>
      </c>
      <c r="B3" s="7">
        <v>65000.0</v>
      </c>
      <c r="C3" s="7">
        <v>70500.0</v>
      </c>
      <c r="D3" s="7">
        <v>76750.0</v>
      </c>
      <c r="E3" s="7">
        <v>83425.0</v>
      </c>
      <c r="F3" s="7">
        <v>90768.0</v>
      </c>
      <c r="G3" s="7">
        <v>98845.0</v>
      </c>
      <c r="H3" s="7">
        <v>107729.0</v>
      </c>
      <c r="I3" s="7">
        <v>117502.0</v>
      </c>
      <c r="J3" s="7">
        <v>128252.0</v>
      </c>
      <c r="K3" s="7">
        <v>140077.0</v>
      </c>
    </row>
    <row r="4">
      <c r="A4" s="9" t="s">
        <v>71</v>
      </c>
      <c r="B4" s="7">
        <v>130000.0</v>
      </c>
      <c r="C4" s="7">
        <v>143000.0</v>
      </c>
      <c r="D4" s="7">
        <v>157300.0</v>
      </c>
      <c r="E4" s="7">
        <v>173030.0</v>
      </c>
      <c r="F4" s="7">
        <v>190333.0</v>
      </c>
      <c r="G4" s="7">
        <v>209366.0</v>
      </c>
      <c r="H4" s="7">
        <v>230303.0</v>
      </c>
      <c r="I4" s="7">
        <v>253333.0</v>
      </c>
      <c r="J4" s="7">
        <v>278666.0</v>
      </c>
      <c r="K4" s="7">
        <v>306533.0</v>
      </c>
    </row>
    <row r="5">
      <c r="A5" s="9" t="s">
        <v>72</v>
      </c>
      <c r="B5" s="7">
        <v>235000.0</v>
      </c>
      <c r="C5" s="7">
        <v>258500.0</v>
      </c>
      <c r="D5" s="7">
        <v>284350.0</v>
      </c>
      <c r="E5" s="7">
        <v>312785.0</v>
      </c>
      <c r="F5" s="7">
        <v>344064.0</v>
      </c>
      <c r="G5" s="7">
        <v>378470.0</v>
      </c>
      <c r="H5" s="7">
        <v>416317.0</v>
      </c>
      <c r="I5" s="7">
        <v>457949.0</v>
      </c>
      <c r="J5" s="7">
        <v>503744.0</v>
      </c>
      <c r="K5" s="7">
        <v>554118.0</v>
      </c>
    </row>
    <row r="6">
      <c r="A6" s="9" t="s">
        <v>73</v>
      </c>
      <c r="B6" s="7">
        <v>35000.0</v>
      </c>
      <c r="C6" s="7">
        <v>38500.0</v>
      </c>
      <c r="D6" s="7">
        <v>42350.0</v>
      </c>
      <c r="E6" s="7">
        <v>46585.0</v>
      </c>
      <c r="F6" s="7">
        <v>51244.0</v>
      </c>
      <c r="G6" s="7">
        <v>56368.0</v>
      </c>
      <c r="H6" s="7">
        <v>62005.0</v>
      </c>
      <c r="I6" s="7">
        <v>68205.0</v>
      </c>
      <c r="J6" s="7">
        <v>75026.0</v>
      </c>
      <c r="K6" s="7">
        <v>82528.0</v>
      </c>
    </row>
    <row r="7">
      <c r="A7" s="9" t="s">
        <v>74</v>
      </c>
      <c r="B7" s="7">
        <v>40000.0</v>
      </c>
      <c r="C7" s="7">
        <v>44000.0</v>
      </c>
      <c r="D7" s="7">
        <v>48400.0</v>
      </c>
      <c r="E7" s="7">
        <v>53240.0</v>
      </c>
      <c r="F7" s="7">
        <v>58564.0</v>
      </c>
      <c r="G7" s="7">
        <v>64420.0</v>
      </c>
      <c r="H7" s="7">
        <v>70862.0</v>
      </c>
      <c r="I7" s="7">
        <v>77948.0</v>
      </c>
      <c r="J7" s="7">
        <v>85743.0</v>
      </c>
      <c r="K7" s="7">
        <v>94317.0</v>
      </c>
    </row>
    <row r="8">
      <c r="A8" s="4" t="s">
        <v>50</v>
      </c>
      <c r="B8" s="7">
        <f t="shared" ref="B8:K8" si="1">SUM(B2:B7)</f>
        <v>808000</v>
      </c>
      <c r="C8" s="7">
        <f t="shared" si="1"/>
        <v>887800</v>
      </c>
      <c r="D8" s="7">
        <f t="shared" si="1"/>
        <v>975780</v>
      </c>
      <c r="E8" s="7">
        <f t="shared" si="1"/>
        <v>1072358</v>
      </c>
      <c r="F8" s="7">
        <f t="shared" si="1"/>
        <v>1178595</v>
      </c>
      <c r="G8" s="7">
        <f t="shared" si="1"/>
        <v>1295453</v>
      </c>
      <c r="H8" s="7">
        <f t="shared" si="1"/>
        <v>1423999</v>
      </c>
      <c r="I8" s="7">
        <f t="shared" si="1"/>
        <v>1565398</v>
      </c>
      <c r="J8" s="7">
        <f t="shared" si="1"/>
        <v>1720938</v>
      </c>
      <c r="K8" s="7">
        <f t="shared" si="1"/>
        <v>1892031</v>
      </c>
    </row>
    <row r="11">
      <c r="A11" s="9" t="s">
        <v>75</v>
      </c>
    </row>
    <row r="12">
      <c r="A12" s="9" t="s">
        <v>76</v>
      </c>
    </row>
    <row r="13">
      <c r="A13" s="9" t="s">
        <v>77</v>
      </c>
    </row>
    <row r="14">
      <c r="A14" s="9" t="s">
        <v>78</v>
      </c>
    </row>
    <row r="15">
      <c r="A15" s="9" t="s">
        <v>79</v>
      </c>
    </row>
    <row r="16">
      <c r="A16" s="9" t="s">
        <v>80</v>
      </c>
    </row>
    <row r="17">
      <c r="A17" s="9" t="s">
        <v>81</v>
      </c>
    </row>
    <row r="19">
      <c r="A19" s="9" t="s">
        <v>82</v>
      </c>
    </row>
    <row r="20">
      <c r="A20" s="9" t="s">
        <v>83</v>
      </c>
    </row>
    <row r="21">
      <c r="A21" s="9" t="s">
        <v>84</v>
      </c>
    </row>
    <row r="22">
      <c r="A22" s="9" t="s">
        <v>85</v>
      </c>
    </row>
    <row r="24">
      <c r="A24" s="9" t="s">
        <v>86</v>
      </c>
    </row>
    <row r="25">
      <c r="A25" s="9" t="s">
        <v>87</v>
      </c>
    </row>
    <row r="26">
      <c r="A26" s="9" t="s">
        <v>88</v>
      </c>
    </row>
    <row r="27">
      <c r="A27" s="9" t="s">
        <v>89</v>
      </c>
    </row>
    <row r="29">
      <c r="A29" s="9" t="s">
        <v>90</v>
      </c>
    </row>
    <row r="30">
      <c r="A30" s="9" t="s">
        <v>91</v>
      </c>
    </row>
    <row r="31">
      <c r="A31" s="9" t="s">
        <v>92</v>
      </c>
    </row>
    <row r="32">
      <c r="A32" s="9" t="s">
        <v>93</v>
      </c>
    </row>
    <row r="34">
      <c r="A34" s="9" t="s">
        <v>94</v>
      </c>
    </row>
    <row r="35">
      <c r="A35" s="9" t="s">
        <v>95</v>
      </c>
    </row>
    <row r="36">
      <c r="A36" s="9" t="s">
        <v>96</v>
      </c>
    </row>
    <row r="37">
      <c r="A37" s="9" t="s">
        <v>97</v>
      </c>
    </row>
    <row r="39">
      <c r="A39" s="9" t="s">
        <v>98</v>
      </c>
    </row>
    <row r="40">
      <c r="A40" s="9" t="s">
        <v>99</v>
      </c>
    </row>
    <row r="41">
      <c r="A41" s="9" t="s"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2.13"/>
    <col customWidth="1" min="3" max="3" width="31.5"/>
  </cols>
  <sheetData>
    <row r="1">
      <c r="A1" s="9" t="s">
        <v>101</v>
      </c>
      <c r="B1" s="9" t="s">
        <v>102</v>
      </c>
      <c r="C1" s="9" t="s">
        <v>103</v>
      </c>
    </row>
    <row r="2">
      <c r="A2" s="9" t="s">
        <v>104</v>
      </c>
      <c r="B2" s="7">
        <f>Projections!B5</f>
        <v>-53280</v>
      </c>
      <c r="C2" s="7">
        <f t="shared" ref="C2:C12" si="1">NPV($B$15,B2)</f>
        <v>-48436.36364</v>
      </c>
    </row>
    <row r="3">
      <c r="A3" s="9">
        <v>1.0</v>
      </c>
      <c r="B3" s="7">
        <f>Projections!C5</f>
        <v>-308000</v>
      </c>
      <c r="C3" s="7">
        <f t="shared" si="1"/>
        <v>-280000</v>
      </c>
    </row>
    <row r="4">
      <c r="A4" s="9">
        <v>2.0</v>
      </c>
      <c r="B4" s="7">
        <f>Projections!D5</f>
        <v>-187800</v>
      </c>
      <c r="C4" s="7">
        <f t="shared" si="1"/>
        <v>-170727.2727</v>
      </c>
    </row>
    <row r="5">
      <c r="A5" s="9">
        <v>3.0</v>
      </c>
      <c r="B5" s="7">
        <f>Projections!E5</f>
        <v>-75780</v>
      </c>
      <c r="C5" s="7">
        <f t="shared" si="1"/>
        <v>-68890.90909</v>
      </c>
    </row>
    <row r="6">
      <c r="A6" s="9">
        <v>4.0</v>
      </c>
      <c r="B6" s="7">
        <f>Projections!F5</f>
        <v>-37358</v>
      </c>
      <c r="C6" s="7">
        <f t="shared" si="1"/>
        <v>-33961.81818</v>
      </c>
    </row>
    <row r="7">
      <c r="A7" s="9">
        <v>5.0</v>
      </c>
      <c r="B7" s="7">
        <f>Projections!G5</f>
        <v>17680</v>
      </c>
      <c r="C7" s="7">
        <f t="shared" si="1"/>
        <v>16072.72727</v>
      </c>
    </row>
    <row r="8">
      <c r="A8" s="9">
        <v>6.0</v>
      </c>
      <c r="B8" s="7">
        <f>Projections!H5</f>
        <v>88808</v>
      </c>
      <c r="C8" s="7">
        <f t="shared" si="1"/>
        <v>80734.54545</v>
      </c>
    </row>
    <row r="9">
      <c r="A9" s="9">
        <v>7.0</v>
      </c>
      <c r="B9" s="7">
        <f>Projections!I5</f>
        <v>178074</v>
      </c>
      <c r="C9" s="7">
        <f t="shared" si="1"/>
        <v>161885.4545</v>
      </c>
    </row>
    <row r="10">
      <c r="A10" s="9">
        <v>8.0</v>
      </c>
      <c r="B10" s="7">
        <f>Projections!J5</f>
        <v>292399</v>
      </c>
      <c r="C10" s="7">
        <f t="shared" si="1"/>
        <v>265817.2727</v>
      </c>
    </row>
    <row r="11">
      <c r="A11" s="9">
        <v>9.0</v>
      </c>
      <c r="B11" s="7">
        <f>Projections!K5</f>
        <v>438429</v>
      </c>
      <c r="C11" s="7">
        <f t="shared" si="1"/>
        <v>398571.8182</v>
      </c>
    </row>
    <row r="12">
      <c r="A12" s="9">
        <v>10.0</v>
      </c>
      <c r="B12" s="7">
        <f>Projections!L5</f>
        <v>620836</v>
      </c>
      <c r="C12" s="7">
        <f t="shared" si="1"/>
        <v>564396.3636</v>
      </c>
    </row>
    <row r="13">
      <c r="A13" s="9" t="s">
        <v>105</v>
      </c>
      <c r="B13" s="9" t="s">
        <v>106</v>
      </c>
      <c r="C13" s="3">
        <f t="array" ref="C13">NPV(B15, B2:B12)</f>
        <v>130229.7132</v>
      </c>
    </row>
    <row r="15">
      <c r="A15" s="4" t="s">
        <v>107</v>
      </c>
      <c r="B15" s="6">
        <v>0.1</v>
      </c>
    </row>
  </sheetData>
  <drawing r:id="rId1"/>
</worksheet>
</file>